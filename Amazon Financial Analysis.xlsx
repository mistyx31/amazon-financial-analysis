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398d5ab3d3b979/Documents/"/>
    </mc:Choice>
  </mc:AlternateContent>
  <xr:revisionPtr revIDLastSave="434" documentId="8_{C8792C0E-EB75-48D4-9433-5B4AEB6FC124}" xr6:coauthVersionLast="47" xr6:coauthVersionMax="47" xr10:uidLastSave="{242559F1-E652-4D53-A6CF-B50460BC872B}"/>
  <bookViews>
    <workbookView xWindow="-110" yWindow="-110" windowWidth="19420" windowHeight="11500" xr2:uid="{5CC3F6C4-E7EF-4AC2-9470-D3D0D49802CE}"/>
  </bookViews>
  <sheets>
    <sheet name="Raw Financial Data" sheetId="1" r:id="rId1"/>
    <sheet name="Calculations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" l="1"/>
  <c r="J5" i="3"/>
  <c r="G5" i="3"/>
  <c r="D5" i="3"/>
  <c r="D4" i="2"/>
  <c r="E8" i="2"/>
  <c r="E6" i="2"/>
  <c r="D8" i="2"/>
  <c r="D6" i="2"/>
  <c r="C8" i="2"/>
  <c r="C6" i="2"/>
  <c r="C4" i="2"/>
  <c r="B8" i="2"/>
  <c r="B6" i="2"/>
</calcChain>
</file>

<file path=xl/sharedStrings.xml><?xml version="1.0" encoding="utf-8"?>
<sst xmlns="http://schemas.openxmlformats.org/spreadsheetml/2006/main" count="18" uniqueCount="16">
  <si>
    <t>Year</t>
  </si>
  <si>
    <t>Revenue ($ Billion)</t>
  </si>
  <si>
    <t>Operating Income ($ Billion)</t>
  </si>
  <si>
    <t>Net Income ($ Billion)</t>
  </si>
  <si>
    <t>AWS Revenue ($ Billion)</t>
  </si>
  <si>
    <t>Revenue Growth %</t>
  </si>
  <si>
    <t>Operating Margin  %</t>
  </si>
  <si>
    <t>Net Profit Margin %</t>
  </si>
  <si>
    <t>AWS Growth %</t>
  </si>
  <si>
    <t>N/A</t>
  </si>
  <si>
    <t>AMAZON FINANCIAL PERFORMANCE DASHBOARD</t>
  </si>
  <si>
    <t>Operating Income</t>
  </si>
  <si>
    <t>AWS Revenue</t>
  </si>
  <si>
    <t>SELECT YEAR</t>
  </si>
  <si>
    <t xml:space="preserve">Net Income </t>
  </si>
  <si>
    <t xml:space="preserve">    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</si>
</sst>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&quot;B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3" fillId="0" borderId="0" xfId="0" applyFont="1"/>
    <xf numFmtId="0" fontId="5" fillId="0" borderId="0" xfId="0" applyFont="1" applyAlignment="1">
      <alignment horizontal="center"/>
    </xf>
    <xf numFmtId="164" fontId="4" fillId="2" borderId="9" xfId="0" applyNumberFormat="1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 Revenue</a:t>
            </a:r>
            <a:r>
              <a:rPr lang="en-IN" sz="1600" b="1" baseline="0"/>
              <a:t> Growth </a:t>
            </a: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($ Billion)</a:t>
            </a:r>
            <a:endParaRPr lang="en-IN" sz="1600" b="1" baseline="0"/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2671093225924247"/>
          <c:y val="5.21942763804856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4916631579792909E-2"/>
          <c:y val="0.30076427089007707"/>
          <c:w val="0.87764129483814524"/>
          <c:h val="0.6153546952464275"/>
        </c:manualLayout>
      </c:layout>
      <c:lineChart>
        <c:grouping val="standard"/>
        <c:varyColors val="0"/>
        <c:ser>
          <c:idx val="1"/>
          <c:order val="1"/>
          <c:tx>
            <c:strRef>
              <c:f>'Raw Financial Data'!$B$1</c:f>
              <c:strCache>
                <c:ptCount val="1"/>
                <c:pt idx="0">
                  <c:v>Revenue ($ Billion)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"/>
              <c:pt idx="0">
                <c:v>2022</c:v>
              </c:pt>
              <c:pt idx="1">
                <c:v>2023</c:v>
              </c:pt>
              <c:pt idx="2">
                <c:v>2024</c:v>
              </c:pt>
            </c:numLit>
          </c:cat>
          <c:val>
            <c:numRef>
              <c:f>'Raw Financial Data'!$B$2:$B$4</c:f>
              <c:numCache>
                <c:formatCode>General</c:formatCode>
                <c:ptCount val="3"/>
                <c:pt idx="0">
                  <c:v>513.98299999999995</c:v>
                </c:pt>
                <c:pt idx="1">
                  <c:v>574.78499999999997</c:v>
                </c:pt>
                <c:pt idx="2">
                  <c:v>637.95899999999995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D-440D-A41F-C7B1481EF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429520"/>
        <c:axId val="16884314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'Raw Financial Data'!$A$1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Lit>
                    <c:formatCode>General</c:formatCode>
                    <c:ptCount val="3"/>
                    <c:pt idx="0">
                      <c:v>2022</c:v>
                    </c:pt>
                    <c:pt idx="1">
                      <c:v>2023</c:v>
                    </c:pt>
                    <c:pt idx="2">
                      <c:v>2024</c:v>
                    </c:pt>
                  </c:numLit>
                </c:cat>
                <c:val>
                  <c:numRef>
                    <c:extLst>
                      <c:ext uri="{02D57815-91ED-43cb-92C2-25804820EDAC}">
                        <c15:formulaRef>
                          <c15:sqref>'Raw Financial Data'!$A$2:$A$4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5AD-440D-A41F-C7B1481EF23C}"/>
                  </c:ext>
                </c:extLst>
              </c15:ser>
            </c15:filteredLineSeries>
          </c:ext>
        </c:extLst>
      </c:lineChart>
      <c:catAx>
        <c:axId val="168842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431440"/>
        <c:crosses val="autoZero"/>
        <c:auto val="1"/>
        <c:lblAlgn val="ctr"/>
        <c:lblOffset val="100"/>
        <c:noMultiLvlLbl val="0"/>
      </c:catAx>
      <c:valAx>
        <c:axId val="1688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42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0953302712160973"/>
          <c:y val="0.15335593467483227"/>
          <c:w val="0.23175142294286608"/>
          <c:h val="7.78821508896264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'Raw Financial Data'!$E$1</c:f>
              <c:strCache>
                <c:ptCount val="1"/>
                <c:pt idx="0">
                  <c:v>AWS Revenue ($ Billion)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3"/>
              <c:pt idx="0">
                <c:v>2022</c:v>
              </c:pt>
              <c:pt idx="1">
                <c:v>2023</c:v>
              </c:pt>
              <c:pt idx="2">
                <c:v>2024</c:v>
              </c:pt>
            </c:numLit>
          </c:cat>
          <c:val>
            <c:numRef>
              <c:f>'Raw Financial Data'!$E$2:$E$4</c:f>
              <c:numCache>
                <c:formatCode>General</c:formatCode>
                <c:ptCount val="3"/>
                <c:pt idx="0">
                  <c:v>80.096000000000004</c:v>
                </c:pt>
                <c:pt idx="1">
                  <c:v>90.757000000000005</c:v>
                </c:pt>
                <c:pt idx="2">
                  <c:v>107.556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33-418D-A9AC-2112ABD91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134800"/>
        <c:axId val="489138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'Raw Financial Data'!$A$1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Lit>
                    <c:formatCode>General</c:formatCode>
                    <c:ptCount val="3"/>
                    <c:pt idx="0">
                      <c:v>2022</c:v>
                    </c:pt>
                    <c:pt idx="1">
                      <c:v>2023</c:v>
                    </c:pt>
                    <c:pt idx="2">
                      <c:v>2024</c:v>
                    </c:pt>
                  </c:numLit>
                </c:cat>
                <c:val>
                  <c:numRef>
                    <c:extLst>
                      <c:ext uri="{02D57815-91ED-43cb-92C2-25804820EDAC}">
                        <c15:formulaRef>
                          <c15:sqref>'Raw Financial Data'!$A$2:$A$4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F33-418D-A9AC-2112ABD91E7B}"/>
                  </c:ext>
                </c:extLst>
              </c15:ser>
            </c15:filteredLineSeries>
          </c:ext>
        </c:extLst>
      </c:lineChart>
      <c:catAx>
        <c:axId val="48913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138160"/>
        <c:crosses val="autoZero"/>
        <c:auto val="1"/>
        <c:lblAlgn val="ctr"/>
        <c:lblOffset val="100"/>
        <c:noMultiLvlLbl val="0"/>
      </c:catAx>
      <c:valAx>
        <c:axId val="48913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13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075678040244966"/>
          <c:y val="7.407407407407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'Raw Financial Data'!$D$1</c:f>
              <c:strCache>
                <c:ptCount val="1"/>
                <c:pt idx="0">
                  <c:v>Net Income ($ Billion)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3"/>
              <c:pt idx="0">
                <c:v>2022</c:v>
              </c:pt>
              <c:pt idx="1">
                <c:v>2023</c:v>
              </c:pt>
              <c:pt idx="2">
                <c:v>2024</c:v>
              </c:pt>
            </c:numLit>
          </c:cat>
          <c:val>
            <c:numRef>
              <c:f>'Raw Financial Data'!$D$2:$D$4</c:f>
              <c:numCache>
                <c:formatCode>General</c:formatCode>
                <c:ptCount val="3"/>
                <c:pt idx="0">
                  <c:v>-2.722</c:v>
                </c:pt>
                <c:pt idx="1">
                  <c:v>30.425000000000001</c:v>
                </c:pt>
                <c:pt idx="2">
                  <c:v>59.247999999999998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B-4528-BB3E-52BF01125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352384"/>
        <c:axId val="6263528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'Raw Financial Data'!$A$1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Lit>
                    <c:formatCode>General</c:formatCode>
                    <c:ptCount val="3"/>
                    <c:pt idx="0">
                      <c:v>2022</c:v>
                    </c:pt>
                    <c:pt idx="1">
                      <c:v>2023</c:v>
                    </c:pt>
                    <c:pt idx="2">
                      <c:v>2024</c:v>
                    </c:pt>
                  </c:numLit>
                </c:cat>
                <c:val>
                  <c:numRef>
                    <c:extLst>
                      <c:ext uri="{02D57815-91ED-43cb-92C2-25804820EDAC}">
                        <c15:formulaRef>
                          <c15:sqref>'Raw Financial Data'!$A$2:$A$4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8AB-4528-BB3E-52BF0112512A}"/>
                  </c:ext>
                </c:extLst>
              </c15:ser>
            </c15:filteredBarSeries>
          </c:ext>
        </c:extLst>
      </c:barChart>
      <c:catAx>
        <c:axId val="62635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352864"/>
        <c:crosses val="autoZero"/>
        <c:auto val="1"/>
        <c:lblAlgn val="ctr"/>
        <c:lblOffset val="100"/>
        <c:noMultiLvlLbl val="0"/>
      </c:catAx>
      <c:valAx>
        <c:axId val="62635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35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895246</xdr:colOff>
      <xdr:row>10</xdr:row>
      <xdr:rowOff>135327</xdr:rowOff>
    </xdr:from>
    <xdr:to>
      <xdr:col>8</xdr:col>
      <xdr:colOff>281464</xdr:colOff>
      <xdr:row>25</xdr:row>
      <xdr:rowOff>76445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769349-86DF-4D1A-BFAF-F540FB724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920750</xdr:colOff>
      <xdr:row>28</xdr:row>
      <xdr:rowOff>0</xdr:rowOff>
    </xdr:from>
    <xdr:to>
      <xdr:col>8</xdr:col>
      <xdr:colOff>232833</xdr:colOff>
      <xdr:row>43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1E2ADF-EBBF-434F-8F7A-794D820A2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10583</xdr:colOff>
      <xdr:row>44</xdr:row>
      <xdr:rowOff>179916</xdr:rowOff>
    </xdr:from>
    <xdr:to>
      <xdr:col>8</xdr:col>
      <xdr:colOff>190500</xdr:colOff>
      <xdr:row>59</xdr:row>
      <xdr:rowOff>177048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C70030-13BD-4295-83D8-1D04F9DCE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5A97-12E9-41F9-8201-FDC759F62B0E}">
  <dimension ref="A1:E13"/>
  <sheetViews>
    <sheetView tabSelected="1" zoomScale="59" workbookViewId="0">
      <pane ySplit="1" topLeftCell="A2" activePane="bottomLeft" state="frozen"/>
      <selection pane="bottomLeft" activeCell="D1" activeCellId="1" sqref="A1:A4 D1:D4"/>
    </sheetView>
  </sheetViews>
  <sheetFormatPr defaultRowHeight="14.5" x14ac:dyDescent="0.35"/>
  <cols>
    <col min="2" max="2" width="15.7265625" bestFit="1" customWidth="1"/>
    <col min="3" max="3" width="23.36328125" bestFit="1" customWidth="1"/>
    <col min="4" max="4" width="18.1796875" bestFit="1" customWidth="1"/>
    <col min="5" max="5" width="19.90625" bestFit="1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2022</v>
      </c>
      <c r="B2">
        <v>513.98299999999995</v>
      </c>
      <c r="C2">
        <v>12.247999999999999</v>
      </c>
      <c r="D2">
        <v>-2.722</v>
      </c>
      <c r="E2">
        <v>80.096000000000004</v>
      </c>
    </row>
    <row r="3" spans="1:5" x14ac:dyDescent="0.35">
      <c r="A3" s="3">
        <v>2023</v>
      </c>
      <c r="B3">
        <v>574.78499999999997</v>
      </c>
      <c r="C3">
        <v>36.851999999999997</v>
      </c>
      <c r="D3">
        <v>30.425000000000001</v>
      </c>
      <c r="E3">
        <v>90.757000000000005</v>
      </c>
    </row>
    <row r="4" spans="1:5" x14ac:dyDescent="0.35">
      <c r="A4" s="3">
        <v>2024</v>
      </c>
      <c r="B4">
        <v>637.95899999999995</v>
      </c>
      <c r="C4">
        <v>68.593000000000004</v>
      </c>
      <c r="D4">
        <v>59.247999999999998</v>
      </c>
      <c r="E4">
        <v>107.556</v>
      </c>
    </row>
    <row r="5" spans="1:5" x14ac:dyDescent="0.35">
      <c r="A5" s="3"/>
      <c r="B5" s="4"/>
      <c r="C5" s="4"/>
      <c r="D5" s="4"/>
      <c r="E5" s="4"/>
    </row>
    <row r="6" spans="1:5" x14ac:dyDescent="0.35">
      <c r="A6" s="3"/>
      <c r="B6" s="4"/>
      <c r="C6" s="4"/>
      <c r="D6" s="4"/>
      <c r="E6" s="4"/>
    </row>
    <row r="8" spans="1:5" x14ac:dyDescent="0.35">
      <c r="A8" s="1"/>
      <c r="B8" s="2"/>
      <c r="C8" s="1"/>
      <c r="D8" s="2"/>
    </row>
    <row r="9" spans="1:5" x14ac:dyDescent="0.35">
      <c r="A9" s="3"/>
      <c r="C9" s="3"/>
    </row>
    <row r="10" spans="1:5" x14ac:dyDescent="0.35">
      <c r="A10" s="3"/>
      <c r="C10" s="3"/>
    </row>
    <row r="11" spans="1:5" x14ac:dyDescent="0.35">
      <c r="A11" s="3"/>
      <c r="C11" s="3"/>
    </row>
    <row r="13" spans="1:5" x14ac:dyDescent="0.35">
      <c r="B13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55DDF-D7DF-4DA5-B757-CD52A2C24B41}">
  <dimension ref="A1:E8"/>
  <sheetViews>
    <sheetView topLeftCell="B1" zoomScale="70" zoomScaleNormal="100" workbookViewId="0">
      <selection activeCell="E1" sqref="E1"/>
    </sheetView>
  </sheetViews>
  <sheetFormatPr defaultRowHeight="14.5" x14ac:dyDescent="0.35"/>
  <cols>
    <col min="2" max="2" width="16.54296875" bestFit="1" customWidth="1"/>
    <col min="3" max="3" width="24.26953125" bestFit="1" customWidth="1"/>
    <col min="4" max="4" width="18.90625" bestFit="1" customWidth="1"/>
    <col min="5" max="5" width="20.81640625" bestFit="1" customWidth="1"/>
  </cols>
  <sheetData>
    <row r="1" spans="1:5" x14ac:dyDescent="0.35">
      <c r="A1" s="1" t="s">
        <v>0</v>
      </c>
      <c r="B1" s="2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 s="3"/>
      <c r="B2" s="4"/>
      <c r="C2" s="4"/>
      <c r="D2" s="4"/>
      <c r="E2" s="4"/>
    </row>
    <row r="3" spans="1:5" x14ac:dyDescent="0.35">
      <c r="A3" s="3"/>
      <c r="B3" s="4"/>
      <c r="C3" s="4"/>
      <c r="D3" s="4"/>
      <c r="E3" s="4"/>
    </row>
    <row r="4" spans="1:5" x14ac:dyDescent="0.35">
      <c r="A4" s="3">
        <v>2022</v>
      </c>
      <c r="B4" s="6" t="s">
        <v>9</v>
      </c>
      <c r="C4" s="5">
        <f>12.248/513.983</f>
        <v>2.3829581912242236E-2</v>
      </c>
      <c r="D4" s="5">
        <f>-2.722/513.983</f>
        <v>-5.2958950004183027E-3</v>
      </c>
      <c r="E4" s="6" t="s">
        <v>9</v>
      </c>
    </row>
    <row r="5" spans="1:5" x14ac:dyDescent="0.35">
      <c r="A5" s="3"/>
      <c r="C5" s="5"/>
      <c r="D5" s="5"/>
      <c r="E5" s="4"/>
    </row>
    <row r="6" spans="1:5" x14ac:dyDescent="0.35">
      <c r="A6" s="3">
        <v>2023</v>
      </c>
      <c r="B6" s="5">
        <f>(574.785-513.983)/513.983</f>
        <v>0.11829574129883678</v>
      </c>
      <c r="C6" s="5">
        <f>36.852/574.785</f>
        <v>6.4114407996033296E-2</v>
      </c>
      <c r="D6" s="5">
        <f>30.425/574.785</f>
        <v>5.2932835755978326E-2</v>
      </c>
      <c r="E6" s="5">
        <f>(90.757-80.096)/80.096</f>
        <v>0.13310277666799841</v>
      </c>
    </row>
    <row r="7" spans="1:5" x14ac:dyDescent="0.35">
      <c r="A7" s="3"/>
      <c r="B7" s="5"/>
      <c r="C7" s="5"/>
      <c r="D7" s="5"/>
      <c r="E7" s="5"/>
    </row>
    <row r="8" spans="1:5" x14ac:dyDescent="0.35">
      <c r="A8" s="3">
        <v>2024</v>
      </c>
      <c r="B8" s="5">
        <f>(637.959-574.785)/574.785</f>
        <v>0.10990892246666141</v>
      </c>
      <c r="C8" s="5">
        <f>68.593/637.959</f>
        <v>0.10751944874200381</v>
      </c>
      <c r="D8" s="5">
        <f>59.248/637.959</f>
        <v>9.2871171971866534E-2</v>
      </c>
      <c r="E8" s="5">
        <f>(107.556-90.757)/90.757</f>
        <v>0.18509867007503544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2C27-5205-4E10-96A6-B159715303C4}">
  <dimension ref="A1:L6"/>
  <sheetViews>
    <sheetView showGridLines="0" zoomScale="34" zoomScaleNormal="68" workbookViewId="0">
      <selection activeCell="F2" sqref="F2"/>
    </sheetView>
  </sheetViews>
  <sheetFormatPr defaultRowHeight="14.5" x14ac:dyDescent="0.35"/>
  <cols>
    <col min="1" max="1" width="13.453125" bestFit="1" customWidth="1"/>
    <col min="4" max="4" width="21.08984375" bestFit="1" customWidth="1"/>
    <col min="5" max="5" width="20.7265625" bestFit="1" customWidth="1"/>
    <col min="7" max="7" width="15.81640625" bestFit="1" customWidth="1"/>
    <col min="10" max="10" width="17.6328125" bestFit="1" customWidth="1"/>
  </cols>
  <sheetData>
    <row r="1" spans="1:12" ht="34.5" x14ac:dyDescent="0.8">
      <c r="A1" s="9" t="s">
        <v>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6" x14ac:dyDescent="0.6">
      <c r="E2" s="8" t="s">
        <v>13</v>
      </c>
      <c r="F2" s="8">
        <v>2023</v>
      </c>
    </row>
    <row r="3" spans="1:12" ht="15" thickBot="1" x14ac:dyDescent="0.4"/>
    <row r="4" spans="1:12" ht="35" customHeight="1" thickBot="1" x14ac:dyDescent="0.4">
      <c r="A4" s="14" t="s">
        <v>15</v>
      </c>
      <c r="B4" s="15"/>
      <c r="D4" s="16" t="s">
        <v>11</v>
      </c>
      <c r="E4" s="17"/>
      <c r="G4" s="16" t="s">
        <v>14</v>
      </c>
      <c r="H4" s="17"/>
      <c r="J4" s="16" t="s">
        <v>12</v>
      </c>
      <c r="K4" s="17"/>
    </row>
    <row r="5" spans="1:12" ht="35" customHeight="1" x14ac:dyDescent="0.35">
      <c r="A5" s="10">
        <f>_xlfn.XLOOKUP($F$2,'Raw Financial Data'!$A:$A,'Raw Financial Data'!$B:$B)</f>
        <v>574.78499999999997</v>
      </c>
      <c r="B5" s="11"/>
      <c r="D5" s="18">
        <f>_xlfn.XLOOKUP($F$2,'Raw Financial Data'!$A:$A,'Raw Financial Data'!$C:$C)</f>
        <v>36.851999999999997</v>
      </c>
      <c r="E5" s="19"/>
      <c r="G5" s="18">
        <f>_xlfn.XLOOKUP($F$2,'Raw Financial Data'!$A:$A,'Raw Financial Data'!$D:$D)</f>
        <v>30.425000000000001</v>
      </c>
      <c r="H5" s="19"/>
      <c r="J5" s="18">
        <f>_xlfn.XLOOKUP($F$2,'Raw Financial Data'!$A:$A,'Raw Financial Data'!$E:$E)</f>
        <v>90.757000000000005</v>
      </c>
      <c r="K5" s="19"/>
    </row>
    <row r="6" spans="1:12" ht="35" customHeight="1" thickBot="1" x14ac:dyDescent="0.4">
      <c r="A6" s="12"/>
      <c r="B6" s="13"/>
      <c r="D6" s="20"/>
      <c r="E6" s="21"/>
      <c r="G6" s="20"/>
      <c r="H6" s="21"/>
      <c r="J6" s="20"/>
      <c r="K6" s="21"/>
    </row>
  </sheetData>
  <mergeCells count="9">
    <mergeCell ref="A1:L1"/>
    <mergeCell ref="A5:B6"/>
    <mergeCell ref="A4:B4"/>
    <mergeCell ref="D4:E4"/>
    <mergeCell ref="D5:E6"/>
    <mergeCell ref="G4:H4"/>
    <mergeCell ref="G5:H6"/>
    <mergeCell ref="J4:K4"/>
    <mergeCell ref="J5:K6"/>
  </mergeCells>
  <conditionalFormatting sqref="G5">
    <cfRule type="cellIs" dxfId="1" priority="1" operator="lessThan">
      <formula>0</formula>
    </cfRule>
    <cfRule type="cellIs" dxfId="0" priority="2" operator="greaterThan">
      <formula>0</formula>
    </cfRule>
    <cfRule type="colorScale" priority="3">
      <colorScale>
        <cfvo type="num" val="&quot;CELL VALUE &gt; 0&quot;"/>
        <cfvo type="num" val="&quot;CELL VALUE &lt; 0&quot;"/>
        <color rgb="FF00B050"/>
        <color rgb="FFC00000"/>
      </colorScale>
    </cfRule>
  </conditionalFormatting>
  <dataValidations count="1">
    <dataValidation type="list" allowBlank="1" showInputMessage="1" showErrorMessage="1" sqref="F2" xr:uid="{07055579-A444-46B5-9A5B-F981F9EF7BD0}">
      <formula1>"2022,2023,2024"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Financial Data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suresh</dc:creator>
  <cp:lastModifiedBy>swetha suresh</cp:lastModifiedBy>
  <dcterms:created xsi:type="dcterms:W3CDTF">2026-06-13T03:49:07Z</dcterms:created>
  <dcterms:modified xsi:type="dcterms:W3CDTF">2026-08-14T12:10:37Z</dcterms:modified>
</cp:coreProperties>
</file>